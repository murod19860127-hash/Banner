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EPHYRUS\Desktop\BeamNG\Uploads\"/>
    </mc:Choice>
  </mc:AlternateContent>
  <xr:revisionPtr revIDLastSave="0" documentId="8_{C7B2C969-0887-458D-9CB7-BC5F06B140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alkulyator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B19" i="1"/>
  <c r="C18" i="1"/>
  <c r="B18" i="1"/>
  <c r="C17" i="1"/>
  <c r="C19" i="1" s="1"/>
  <c r="B17" i="1"/>
  <c r="B14" i="1"/>
  <c r="B13" i="1"/>
</calcChain>
</file>

<file path=xl/sharedStrings.xml><?xml version="1.0" encoding="utf-8"?>
<sst xmlns="http://schemas.openxmlformats.org/spreadsheetml/2006/main" count="21" uniqueCount="21">
  <si>
    <t>BANNER + REYKA KALKULYATOR — 2 XIL YECHIM</t>
  </si>
  <si>
    <t>KIRITILADIGAN MA'LUMOT</t>
  </si>
  <si>
    <t>QIYMAT</t>
  </si>
  <si>
    <t>Banner eni (m)</t>
  </si>
  <si>
    <t>Banner bo'yi (m)</t>
  </si>
  <si>
    <t>Banner narxi (1 m²)</t>
  </si>
  <si>
    <t>↔ Ichki gorizontal reyka soni</t>
  </si>
  <si>
    <t>↕ Ichki vertikal reyka soni</t>
  </si>
  <si>
    <t>3×4 reyka narxi (1 metr)</t>
  </si>
  <si>
    <t>3×2 reyka narxi (1 metr)</t>
  </si>
  <si>
    <t>UMUMIY HISOB</t>
  </si>
  <si>
    <t>NATIJA</t>
  </si>
  <si>
    <t>Banner maydoni (m²)</t>
  </si>
  <si>
    <t>Reyka jami metri</t>
  </si>
  <si>
    <t>3×4 REYKA</t>
  </si>
  <si>
    <t>3×2 REYKA</t>
  </si>
  <si>
    <t>Reyka jami narxi</t>
  </si>
  <si>
    <t>Banner jami narxi</t>
  </si>
  <si>
    <t>UMUMIY JAMI</t>
  </si>
  <si>
    <t>G'ijduvon shahri ichida montaj</t>
  </si>
  <si>
    <t>Montaj 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</si>
</sst>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so'm&quot;"/>
    <numFmt numFmtId="165" formatCode="0.00\ &quot;m²&quot;"/>
    <numFmt numFmtId="166" formatCode="0.00\ &quot;m&quot;"/>
    <numFmt numFmtId="167" formatCode="#,##0\ &quot;so'm/m²&quot;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0" borderId="1" xfId="1" applyFont="1" applyBorder="1"/>
    <xf numFmtId="165" fontId="0" fillId="0" borderId="2" xfId="1" applyNumberFormat="1" applyFont="1" applyBorder="1"/>
    <xf numFmtId="0" fontId="3" fillId="3" borderId="3" xfId="1" applyFont="1" applyFill="1" applyBorder="1"/>
    <xf numFmtId="164" fontId="3" fillId="3" borderId="4" xfId="1" applyNumberFormat="1" applyFont="1" applyFill="1" applyBorder="1"/>
    <xf numFmtId="0" fontId="1" fillId="4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0" fontId="2" fillId="0" borderId="7" xfId="1" applyFont="1" applyBorder="1"/>
    <xf numFmtId="2" fontId="2" fillId="6" borderId="8" xfId="1" applyNumberFormat="1" applyFont="1" applyFill="1" applyBorder="1" applyAlignment="1">
      <alignment horizontal="center"/>
    </xf>
    <xf numFmtId="164" fontId="2" fillId="6" borderId="8" xfId="1" applyNumberFormat="1" applyFont="1" applyFill="1" applyBorder="1" applyAlignment="1">
      <alignment horizontal="center"/>
    </xf>
    <xf numFmtId="1" fontId="2" fillId="6" borderId="8" xfId="1" applyNumberFormat="1" applyFont="1" applyFill="1" applyBorder="1" applyAlignment="1">
      <alignment horizontal="center"/>
    </xf>
    <xf numFmtId="0" fontId="2" fillId="0" borderId="9" xfId="1" applyFont="1" applyBorder="1"/>
    <xf numFmtId="164" fontId="2" fillId="6" borderId="10" xfId="1" applyNumberFormat="1" applyFont="1" applyFill="1" applyBorder="1" applyAlignment="1">
      <alignment horizontal="center"/>
    </xf>
    <xf numFmtId="0" fontId="2" fillId="5" borderId="5" xfId="1" applyFont="1" applyFill="1" applyBorder="1" applyAlignment="1">
      <alignment horizontal="center"/>
    </xf>
    <xf numFmtId="164" fontId="2" fillId="5" borderId="6" xfId="1" applyNumberFormat="1" applyFont="1" applyFill="1" applyBorder="1" applyAlignment="1">
      <alignment horizontal="center"/>
    </xf>
    <xf numFmtId="0" fontId="3" fillId="2" borderId="7" xfId="1" applyFont="1" applyFill="1" applyBorder="1"/>
    <xf numFmtId="165" fontId="3" fillId="2" borderId="8" xfId="1" applyNumberFormat="1" applyFont="1" applyFill="1" applyBorder="1"/>
    <xf numFmtId="166" fontId="0" fillId="0" borderId="10" xfId="1" applyNumberFormat="1" applyFont="1" applyBorder="1"/>
    <xf numFmtId="0" fontId="0" fillId="0" borderId="5" xfId="1" applyFont="1" applyBorder="1"/>
    <xf numFmtId="0" fontId="2" fillId="5" borderId="11" xfId="1" applyFont="1" applyFill="1" applyBorder="1" applyAlignment="1">
      <alignment horizontal="center"/>
    </xf>
    <xf numFmtId="0" fontId="2" fillId="5" borderId="6" xfId="1" applyFont="1" applyFill="1" applyBorder="1" applyAlignment="1">
      <alignment horizontal="center"/>
    </xf>
    <xf numFmtId="164" fontId="0" fillId="0" borderId="12" xfId="1" applyNumberFormat="1" applyFont="1" applyBorder="1"/>
    <xf numFmtId="164" fontId="0" fillId="0" borderId="8" xfId="1" applyNumberFormat="1" applyFont="1" applyBorder="1"/>
    <xf numFmtId="0" fontId="3" fillId="7" borderId="9" xfId="1" applyFont="1" applyFill="1" applyBorder="1"/>
    <xf numFmtId="164" fontId="3" fillId="7" borderId="13" xfId="1" applyNumberFormat="1" applyFont="1" applyFill="1" applyBorder="1"/>
    <xf numFmtId="164" fontId="3" fillId="7" borderId="10" xfId="1" applyNumberFormat="1" applyFont="1" applyFill="1" applyBorder="1"/>
    <xf numFmtId="167" fontId="2" fillId="8" borderId="15" xfId="1" applyNumberFormat="1" applyFont="1" applyFill="1" applyBorder="1"/>
    <xf numFmtId="0" fontId="2" fillId="8" borderId="14" xfId="1" applyFont="1" applyFill="1" applyBorder="1" applyAlignment="1">
      <alignment wrapText="1"/>
    </xf>
    <xf numFmtId="0" fontId="2" fillId="8" borderId="15" xfId="1" applyFont="1" applyFill="1" applyBorder="1" applyAlignment="1">
      <alignment horizontal="center"/>
    </xf>
    <xf numFmtId="164" fontId="2" fillId="8" borderId="16" xfId="1" applyNumberFormat="1" applyFont="1" applyFill="1" applyBorder="1" applyAlignment="1">
      <alignment horizontal="center"/>
    </xf>
    <xf numFmtId="0" fontId="1" fillId="4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B1"/>
    </sheetView>
  </sheetViews>
  <sheetFormatPr defaultColWidth="0" defaultRowHeight="14"/>
  <cols>
    <col min="1" max="1" width="32" customWidth="1"/>
    <col min="2" max="3" width="18" customWidth="1"/>
    <col min="4" max="4" width="4" customWidth="1"/>
    <col min="5" max="5" width="0" hidden="1" customWidth="1"/>
  </cols>
  <sheetData>
    <row r="1" spans="1:4" ht="16" customHeight="1">
      <c r="A1" s="31" t="s">
        <v>0</v>
      </c>
      <c r="B1" s="31"/>
      <c r="C1" s="5"/>
      <c r="D1" s="5"/>
    </row>
    <row r="2" spans="1:4" ht="16" customHeight="1"/>
    <row r="3" spans="1:4" ht="16" customHeight="1">
      <c r="A3" s="6" t="s">
        <v>1</v>
      </c>
      <c r="B3" s="7" t="s">
        <v>2</v>
      </c>
    </row>
    <row r="4" spans="1:4" ht="16" customHeight="1">
      <c r="A4" s="8" t="s">
        <v>3</v>
      </c>
      <c r="B4" s="9">
        <v>3.1</v>
      </c>
    </row>
    <row r="5" spans="1:4" ht="16" customHeight="1">
      <c r="A5" s="8" t="s">
        <v>4</v>
      </c>
      <c r="B5" s="9">
        <v>3.8</v>
      </c>
    </row>
    <row r="6" spans="1:4" ht="16" customHeight="1">
      <c r="A6" s="8" t="s">
        <v>5</v>
      </c>
      <c r="B6" s="10">
        <v>25000</v>
      </c>
    </row>
    <row r="7" spans="1:4" ht="16" customHeight="1">
      <c r="A7" s="8" t="s">
        <v>6</v>
      </c>
      <c r="B7" s="11">
        <v>0</v>
      </c>
    </row>
    <row r="8" spans="1:4" ht="16" customHeight="1">
      <c r="A8" s="8" t="s">
        <v>7</v>
      </c>
      <c r="B8" s="11">
        <v>0</v>
      </c>
    </row>
    <row r="9" spans="1:4" ht="16" customHeight="1">
      <c r="A9" s="8" t="s">
        <v>8</v>
      </c>
      <c r="B9" s="10">
        <v>10000</v>
      </c>
    </row>
    <row r="10" spans="1:4" ht="16" customHeight="1">
      <c r="A10" s="12" t="s">
        <v>9</v>
      </c>
      <c r="B10" s="13">
        <v>8000</v>
      </c>
    </row>
    <row r="11" spans="1:4" ht="16" customHeight="1">
      <c r="A11" s="1"/>
      <c r="B11" s="2"/>
    </row>
    <row r="12" spans="1:4" ht="16" customHeight="1">
      <c r="A12" s="14" t="s">
        <v>10</v>
      </c>
      <c r="B12" s="15" t="s">
        <v>11</v>
      </c>
    </row>
    <row r="13" spans="1:4" ht="16" customHeight="1">
      <c r="A13" s="16" t="s">
        <v>12</v>
      </c>
      <c r="B13" s="17">
        <f>B4*B5</f>
        <v>11.78</v>
      </c>
    </row>
    <row r="14" spans="1:4" ht="16" customHeight="1">
      <c r="A14" s="12" t="s">
        <v>13</v>
      </c>
      <c r="B14" s="18">
        <f>2*(B4+B5)+(B7*B4)+(B8*B5)</f>
        <v>13.8</v>
      </c>
    </row>
    <row r="15" spans="1:4" ht="16" customHeight="1">
      <c r="A15" s="3"/>
      <c r="B15" s="4"/>
    </row>
    <row r="16" spans="1:4" ht="16" customHeight="1">
      <c r="A16" s="19"/>
      <c r="B16" s="20" t="s">
        <v>14</v>
      </c>
      <c r="C16" s="21" t="s">
        <v>15</v>
      </c>
    </row>
    <row r="17" spans="1:4" ht="16" customHeight="1">
      <c r="A17" s="8" t="s">
        <v>16</v>
      </c>
      <c r="B17" s="22">
        <f>$B$14*$B$9</f>
        <v>138000</v>
      </c>
      <c r="C17" s="23">
        <f>$B$14*$B$10</f>
        <v>110400</v>
      </c>
    </row>
    <row r="18" spans="1:4" ht="16" customHeight="1">
      <c r="A18" s="8" t="s">
        <v>17</v>
      </c>
      <c r="B18" s="22">
        <f>$B$13*$B$6</f>
        <v>294500</v>
      </c>
      <c r="C18" s="23">
        <f>$B$13*$B$6</f>
        <v>294500</v>
      </c>
    </row>
    <row r="19" spans="1:4" ht="16" customHeight="1">
      <c r="A19" s="24" t="s">
        <v>18</v>
      </c>
      <c r="B19" s="25">
        <f>B17+B18+$D$20</f>
        <v>609200</v>
      </c>
      <c r="C19" s="26">
        <f>C17+C18+$D$20</f>
        <v>581600</v>
      </c>
    </row>
    <row r="20" spans="1:4" ht="16" customHeight="1">
      <c r="A20" s="28" t="s">
        <v>19</v>
      </c>
      <c r="B20" s="27">
        <v>15000</v>
      </c>
      <c r="C20" s="29" t="s">
        <v>20</v>
      </c>
      <c r="D20" s="30">
        <f>$B$13*$B$20</f>
        <v>176700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Kalkulyator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Diyorbek</dc:creator>
  <cp:lastModifiedBy>DIOROV</cp:lastModifiedBy>
  <dcterms:created xsi:type="dcterms:W3CDTF">2026-09-26T17:50:10Z</dcterms:created>
  <dcterms:modified xsi:type="dcterms:W3CDTF">2026-09-26T17:50:10Z</dcterms:modified>
</cp:coreProperties>
</file>